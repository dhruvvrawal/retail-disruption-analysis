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rt_Financials" sheetId="1" state="visible" r:id="rId1"/>
    <sheet xmlns:r="http://schemas.openxmlformats.org/officeDocument/2006/relationships" name="Blinkit_QCommerce" sheetId="2" state="visible" r:id="rId2"/>
    <sheet xmlns:r="http://schemas.openxmlformats.org/officeDocument/2006/relationships" name="Quarterly_Trend" sheetId="3" state="visible" r:id="rId3"/>
    <sheet xmlns:r="http://schemas.openxmlformats.org/officeDocument/2006/relationships" name="Store_Expansion" sheetId="4" state="visible" r:id="rId4"/>
    <sheet xmlns:r="http://schemas.openxmlformats.org/officeDocument/2006/relationships" name="Consumer_Survey" sheetId="5" state="visible" r:id="rId5"/>
    <sheet xmlns:r="http://schemas.openxmlformats.org/officeDocument/2006/relationships" name="Notes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EF2FA"/>
      </patternFill>
    </fill>
    <fill>
      <patternFill patternType="solid">
        <fgColor rgb="002E75B6"/>
      </patternFill>
    </fill>
    <fill>
      <patternFill patternType="solid">
        <fgColor rgb="00E8F4F8"/>
      </patternFill>
    </fill>
    <fill>
      <patternFill patternType="solid">
        <fgColor rgb="00F4B942"/>
      </patternFill>
    </fill>
    <fill>
      <patternFill patternType="solid">
        <fgColor rgb="00FFF8E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0" pivotButton="0" quotePrefix="0" xfId="0"/>
    <xf numFmtId="0" fontId="3" fillId="5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164" fontId="5" fillId="6" borderId="1" applyAlignment="1" pivotButton="0" quotePrefix="0" xfId="0">
      <alignment horizontal="center"/>
    </xf>
    <xf numFmtId="165" fontId="5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9" fillId="5" borderId="0" applyAlignment="1" pivotButton="0" quotePrefix="0" xfId="0">
      <alignment horizontal="left"/>
    </xf>
    <xf numFmtId="0" fontId="5" fillId="9" borderId="0" pivotButton="0" quotePrefix="0" xfId="0"/>
    <xf numFmtId="0" fontId="2" fillId="9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D-Mart (Avenue Supermarts) – Revenue &amp; Profitability | FY2018–FY2024</t>
        </is>
      </c>
    </row>
    <row r="2">
      <c r="A2" s="2" t="inlineStr">
        <is>
          <t>Source: Annual Reports (avenueSuperMarts.in) | Note: Values in ₹ Crores | Manually compiled by student for academic analysis</t>
        </is>
      </c>
    </row>
    <row r="4" ht="28" customHeight="1">
      <c r="A4" s="3" t="inlineStr">
        <is>
          <t>Metric</t>
        </is>
      </c>
      <c r="B4" s="3" t="inlineStr">
        <is>
          <t>FY2018</t>
        </is>
      </c>
      <c r="C4" s="3" t="inlineStr">
        <is>
          <t>FY2019</t>
        </is>
      </c>
      <c r="D4" s="3" t="inlineStr">
        <is>
          <t>FY2020</t>
        </is>
      </c>
      <c r="E4" s="3" t="inlineStr">
        <is>
          <t>FY2021</t>
        </is>
      </c>
      <c r="F4" s="3" t="inlineStr">
        <is>
          <t>FY2022</t>
        </is>
      </c>
      <c r="G4" s="3" t="inlineStr">
        <is>
          <t>FY2023</t>
        </is>
      </c>
      <c r="H4" s="3" t="inlineStr">
        <is>
          <t>FY2024</t>
        </is>
      </c>
    </row>
    <row r="5">
      <c r="A5" s="4" t="inlineStr">
        <is>
          <t>Revenue (₹ Cr)</t>
        </is>
      </c>
      <c r="B5" s="5" t="n">
        <v>15009</v>
      </c>
      <c r="C5" s="5" t="n">
        <v>19916</v>
      </c>
      <c r="D5" s="5" t="n">
        <v>24870</v>
      </c>
      <c r="E5" s="5" t="n">
        <v>21827</v>
      </c>
      <c r="F5" s="5" t="n">
        <v>30976</v>
      </c>
      <c r="G5" s="5" t="n">
        <v>42840</v>
      </c>
      <c r="H5" s="5" t="n">
        <v>50789</v>
      </c>
    </row>
    <row r="6">
      <c r="A6" s="6" t="inlineStr">
        <is>
          <t>YoY Growth (%)</t>
        </is>
      </c>
      <c r="B6" s="7" t="inlineStr">
        <is>
          <t>N/A</t>
        </is>
      </c>
      <c r="C6" s="7">
        <f>(C5-B5)/B5</f>
        <v/>
      </c>
      <c r="D6" s="7">
        <f>(D5-C5)/C5</f>
        <v/>
      </c>
      <c r="E6" s="7">
        <f>(E5-D5)/D5</f>
        <v/>
      </c>
      <c r="F6" s="7">
        <f>(F5-E5)/E5</f>
        <v/>
      </c>
      <c r="G6" s="7">
        <f>(G5-F5)/F5</f>
        <v/>
      </c>
      <c r="H6" s="7">
        <f>(H5-G5)/G5</f>
        <v/>
      </c>
    </row>
    <row r="7">
      <c r="A7" s="4" t="inlineStr">
        <is>
          <t>Gross Profit (₹ Cr)</t>
        </is>
      </c>
      <c r="B7" s="5" t="n">
        <v>1506</v>
      </c>
      <c r="C7" s="5" t="n">
        <v>1964</v>
      </c>
      <c r="D7" s="5" t="n">
        <v>2515</v>
      </c>
      <c r="E7" s="5" t="n">
        <v>2097</v>
      </c>
      <c r="F7" s="5" t="n">
        <v>3298</v>
      </c>
      <c r="G7" s="5" t="n">
        <v>4632</v>
      </c>
      <c r="H7" s="5" t="n">
        <v>5680</v>
      </c>
    </row>
    <row r="8">
      <c r="A8" s="6" t="inlineStr">
        <is>
          <t>Gross Margin (%)</t>
        </is>
      </c>
      <c r="B8" s="7" t="n"/>
      <c r="C8" s="7">
        <f>C7/C5</f>
        <v/>
      </c>
      <c r="D8" s="7">
        <f>D7/D5</f>
        <v/>
      </c>
      <c r="E8" s="7">
        <f>E7/E5</f>
        <v/>
      </c>
      <c r="F8" s="7">
        <f>F7/F5</f>
        <v/>
      </c>
      <c r="G8" s="7">
        <f>G7/G5</f>
        <v/>
      </c>
      <c r="H8" s="7">
        <f>H7/H5</f>
        <v/>
      </c>
    </row>
    <row r="9">
      <c r="A9" s="4" t="inlineStr">
        <is>
          <t>EBITDA (₹ Cr)</t>
        </is>
      </c>
      <c r="B9" s="5" t="n">
        <v>1030</v>
      </c>
      <c r="C9" s="5" t="n">
        <v>1408</v>
      </c>
      <c r="D9" s="5" t="n">
        <v>1829</v>
      </c>
      <c r="E9" s="5" t="n">
        <v>1467</v>
      </c>
      <c r="F9" s="5" t="n">
        <v>2433</v>
      </c>
      <c r="G9" s="5" t="n">
        <v>3388</v>
      </c>
      <c r="H9" s="5" t="n">
        <v>4024</v>
      </c>
    </row>
    <row r="10">
      <c r="A10" s="6" t="inlineStr">
        <is>
          <t>EBITDA Margin (%)</t>
        </is>
      </c>
      <c r="B10" s="7" t="n"/>
      <c r="C10" s="7">
        <f>C9/C5</f>
        <v/>
      </c>
      <c r="D10" s="7">
        <f>D9/D5</f>
        <v/>
      </c>
      <c r="E10" s="7">
        <f>E9/E5</f>
        <v/>
      </c>
      <c r="F10" s="7">
        <f>F9/F5</f>
        <v/>
      </c>
      <c r="G10" s="7">
        <f>G9/G5</f>
        <v/>
      </c>
      <c r="H10" s="7">
        <f>H9/H5</f>
        <v/>
      </c>
    </row>
    <row r="11">
      <c r="A11" s="4" t="inlineStr">
        <is>
          <t>PAT (₹ Cr)</t>
        </is>
      </c>
      <c r="B11" s="5" t="n">
        <v>684</v>
      </c>
      <c r="C11" s="5" t="n">
        <v>900</v>
      </c>
      <c r="D11" s="5" t="n">
        <v>1300</v>
      </c>
      <c r="E11" s="5" t="n">
        <v>896</v>
      </c>
      <c r="F11" s="5" t="n">
        <v>1494</v>
      </c>
      <c r="G11" s="5" t="n">
        <v>2141</v>
      </c>
      <c r="H11" s="5" t="n">
        <v>2695</v>
      </c>
    </row>
    <row r="12">
      <c r="A12" s="6" t="inlineStr">
        <is>
          <t>PAT Margin (%)</t>
        </is>
      </c>
      <c r="B12" s="7" t="n"/>
      <c r="C12" s="7">
        <f>C11/C5</f>
        <v/>
      </c>
      <c r="D12" s="7">
        <f>D11/D5</f>
        <v/>
      </c>
      <c r="E12" s="7">
        <f>E11/E5</f>
        <v/>
      </c>
      <c r="F12" s="7">
        <f>F11/F5</f>
        <v/>
      </c>
      <c r="G12" s="7">
        <f>G11/G5</f>
        <v/>
      </c>
      <c r="H12" s="7">
        <f>H11/H5</f>
        <v/>
      </c>
    </row>
    <row r="13">
      <c r="A13" s="4" t="inlineStr">
        <is>
          <t>Store Count</t>
        </is>
      </c>
      <c r="B13" s="5" t="n">
        <v>176</v>
      </c>
      <c r="C13" s="5" t="n">
        <v>176</v>
      </c>
      <c r="D13" s="5" t="n">
        <v>214</v>
      </c>
      <c r="E13" s="5" t="n">
        <v>238</v>
      </c>
      <c r="F13" s="5" t="n">
        <v>276</v>
      </c>
      <c r="G13" s="5" t="n">
        <v>302</v>
      </c>
      <c r="H13" s="5" t="n">
        <v>365</v>
      </c>
    </row>
    <row r="14">
      <c r="A14" s="6" t="inlineStr">
        <is>
          <t>Revenue/Store (₹ Cr)</t>
        </is>
      </c>
      <c r="B14" s="8" t="inlineStr">
        <is>
          <t>N/A</t>
        </is>
      </c>
      <c r="C14" s="8">
        <f>C5/C13</f>
        <v/>
      </c>
      <c r="D14" s="8">
        <f>D5/D13</f>
        <v/>
      </c>
      <c r="E14" s="8">
        <f>E5/E13</f>
        <v/>
      </c>
      <c r="F14" s="8">
        <f>F5/F13</f>
        <v/>
      </c>
      <c r="G14" s="8">
        <f>G5/G13</f>
        <v/>
      </c>
      <c r="H14" s="8">
        <f>H5/H13</f>
        <v/>
      </c>
    </row>
    <row r="15">
      <c r="A15" s="4" t="inlineStr">
        <is>
          <t>Total Assets (₹ Cr)</t>
        </is>
      </c>
      <c r="B15" s="5" t="n">
        <v>4522</v>
      </c>
      <c r="C15" s="5" t="n">
        <v>6034</v>
      </c>
      <c r="D15" s="5" t="n">
        <v>8416</v>
      </c>
      <c r="E15" s="5" t="n">
        <v>10240</v>
      </c>
      <c r="F15" s="5" t="n">
        <v>12880</v>
      </c>
      <c r="G15" s="5" t="n">
        <v>15902</v>
      </c>
      <c r="H15" s="5" t="n">
        <v>19650</v>
      </c>
    </row>
    <row r="16">
      <c r="A16" s="6" t="inlineStr">
        <is>
          <t>Capex (₹ Cr)</t>
        </is>
      </c>
      <c r="B16" s="8" t="n">
        <v>892</v>
      </c>
      <c r="C16" s="8" t="n">
        <v>1124</v>
      </c>
      <c r="D16" s="8" t="n">
        <v>1410</v>
      </c>
      <c r="E16" s="8" t="n">
        <v>830</v>
      </c>
      <c r="F16" s="8" t="n">
        <v>1620</v>
      </c>
      <c r="G16" s="8" t="n">
        <v>2100</v>
      </c>
      <c r="H16" s="8" t="n">
        <v>2980</v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Blinkit (Acquired by Zomato, 2022) – Quick Commerce Metrics | FY2021–FY2024</t>
        </is>
      </c>
    </row>
    <row r="2">
      <c r="A2" s="10" t="inlineStr">
        <is>
          <t>Source: Zomato Investor Presentations, DRHP, Quarterly Earnings Calls | GOV = Gross Order Value | Values in ₹ Crores</t>
        </is>
      </c>
    </row>
    <row r="4">
      <c r="A4" s="11" t="inlineStr">
        <is>
          <t>Metric</t>
        </is>
      </c>
      <c r="B4" s="11" t="inlineStr">
        <is>
          <t>FY2021</t>
        </is>
      </c>
      <c r="C4" s="11" t="inlineStr">
        <is>
          <t>FY2022</t>
        </is>
      </c>
      <c r="D4" s="11" t="inlineStr">
        <is>
          <t>FY2023</t>
        </is>
      </c>
      <c r="E4" s="11" t="inlineStr">
        <is>
          <t>FY2024</t>
        </is>
      </c>
      <c r="F4" s="11" t="inlineStr">
        <is>
          <t>Q1 FY25</t>
        </is>
      </c>
      <c r="G4" s="11" t="inlineStr">
        <is>
          <t>Q2 FY25</t>
        </is>
      </c>
    </row>
    <row r="5">
      <c r="A5" s="4" t="inlineStr">
        <is>
          <t>GOV (₹ Cr)</t>
        </is>
      </c>
      <c r="B5" s="12" t="n">
        <v>1120</v>
      </c>
      <c r="C5" s="12" t="n">
        <v>2380</v>
      </c>
      <c r="D5" s="12" t="n">
        <v>6200</v>
      </c>
      <c r="E5" s="12" t="n">
        <v>12469</v>
      </c>
      <c r="F5" s="12" t="n">
        <v>4923</v>
      </c>
      <c r="G5" s="12" t="n">
        <v>5824</v>
      </c>
    </row>
    <row r="6">
      <c r="A6" s="13" t="inlineStr">
        <is>
          <t>YoY GOV Growth (%)</t>
        </is>
      </c>
      <c r="B6" s="14" t="inlineStr">
        <is>
          <t>N/A</t>
        </is>
      </c>
      <c r="C6" s="14">
        <f>(C5-B5)/B5</f>
        <v/>
      </c>
      <c r="D6" s="14">
        <f>(D5-C5)/C5</f>
        <v/>
      </c>
      <c r="E6" s="14">
        <f>(E5-D5)/D5</f>
        <v/>
      </c>
      <c r="F6" s="14" t="inlineStr">
        <is>
          <t>N/A</t>
        </is>
      </c>
      <c r="G6" s="14" t="inlineStr">
        <is>
          <t>N/A</t>
        </is>
      </c>
    </row>
    <row r="7">
      <c r="A7" s="4" t="inlineStr">
        <is>
          <t>No. of Dark Stores</t>
        </is>
      </c>
      <c r="B7" s="12" t="n">
        <v>34</v>
      </c>
      <c r="C7" s="12" t="n">
        <v>68</v>
      </c>
      <c r="D7" s="12" t="n">
        <v>335</v>
      </c>
      <c r="E7" s="12" t="n">
        <v>639</v>
      </c>
      <c r="F7" s="12" t="n">
        <v>791</v>
      </c>
      <c r="G7" s="12" t="n">
        <v>857</v>
      </c>
    </row>
    <row r="8">
      <c r="A8" s="13" t="inlineStr">
        <is>
          <t>Dark Store Additions</t>
        </is>
      </c>
      <c r="B8" s="15" t="inlineStr">
        <is>
          <t>N/A</t>
        </is>
      </c>
      <c r="C8" s="15" t="n">
        <v>34</v>
      </c>
      <c r="D8" s="15" t="n">
        <v>267</v>
      </c>
      <c r="E8" s="15" t="n">
        <v>304</v>
      </c>
      <c r="F8" s="15" t="n">
        <v>152</v>
      </c>
      <c r="G8" s="15" t="n">
        <v>66</v>
      </c>
    </row>
    <row r="9">
      <c r="A9" s="4" t="inlineStr">
        <is>
          <t>Monthly Order Volume (Mn)</t>
        </is>
      </c>
      <c r="B9" s="12" t="n">
        <v>1.2</v>
      </c>
      <c r="C9" s="12" t="n">
        <v>3.1</v>
      </c>
      <c r="D9" s="12" t="n">
        <v>10.4</v>
      </c>
      <c r="E9" s="12" t="n">
        <v>21.8</v>
      </c>
      <c r="F9" s="12" t="n">
        <v>25.6</v>
      </c>
      <c r="G9" s="12" t="n">
        <v>28.3</v>
      </c>
    </row>
    <row r="10">
      <c r="A10" s="13" t="inlineStr">
        <is>
          <t>Avg Order Value (₹)</t>
        </is>
      </c>
      <c r="B10" s="15" t="n">
        <v>382</v>
      </c>
      <c r="C10" s="15" t="n">
        <v>398</v>
      </c>
      <c r="D10" s="15" t="n">
        <v>414</v>
      </c>
      <c r="E10" s="15" t="n">
        <v>572</v>
      </c>
      <c r="F10" s="15" t="n">
        <v>607</v>
      </c>
      <c r="G10" s="15" t="n">
        <v>625</v>
      </c>
    </row>
    <row r="11">
      <c r="A11" s="4" t="inlineStr">
        <is>
          <t>Revenue (₹ Cr)</t>
        </is>
      </c>
      <c r="B11" s="12" t="n">
        <v>389</v>
      </c>
      <c r="C11" s="12" t="n">
        <v>780</v>
      </c>
      <c r="D11" s="12" t="n">
        <v>1712</v>
      </c>
      <c r="E11" s="12" t="n">
        <v>2301</v>
      </c>
      <c r="F11" s="12" t="n">
        <v>948</v>
      </c>
      <c r="G11" s="12" t="n">
        <v>1157</v>
      </c>
    </row>
    <row r="12">
      <c r="A12" s="13" t="inlineStr">
        <is>
          <t>Take Rate (%)</t>
        </is>
      </c>
      <c r="B12" s="14" t="inlineStr">
        <is>
          <t>N/A</t>
        </is>
      </c>
      <c r="C12" s="14">
        <f>C11/C5</f>
        <v/>
      </c>
      <c r="D12" s="14">
        <f>D11/D5</f>
        <v/>
      </c>
      <c r="E12" s="14">
        <f>E11/E5</f>
        <v/>
      </c>
      <c r="F12" s="14">
        <f>F11/F5</f>
        <v/>
      </c>
      <c r="G12" s="14">
        <f>G11/G5</f>
        <v/>
      </c>
    </row>
    <row r="13">
      <c r="A13" s="4" t="inlineStr">
        <is>
          <t>Adj. EBITDA (₹ Cr)</t>
        </is>
      </c>
      <c r="B13" s="12" t="n">
        <v>-412</v>
      </c>
      <c r="C13" s="12" t="n">
        <v>-528</v>
      </c>
      <c r="D13" s="12" t="n">
        <v>-380</v>
      </c>
      <c r="E13" s="12" t="n">
        <v>-122</v>
      </c>
      <c r="F13" s="12" t="n">
        <v>-40</v>
      </c>
      <c r="G13" s="12" t="n">
        <v>28</v>
      </c>
    </row>
    <row r="14">
      <c r="A14" s="13" t="inlineStr">
        <is>
          <t>EBITDA Margin (%)</t>
        </is>
      </c>
      <c r="B14" s="14" t="inlineStr">
        <is>
          <t>N/A</t>
        </is>
      </c>
      <c r="C14" s="14">
        <f>C13/C11</f>
        <v/>
      </c>
      <c r="D14" s="14">
        <f>D13/D11</f>
        <v/>
      </c>
      <c r="E14" s="14">
        <f>E13/E11</f>
        <v/>
      </c>
      <c r="F14" s="14">
        <f>F13/F11</f>
        <v/>
      </c>
      <c r="G14" s="14">
        <f>G13/G11</f>
        <v/>
      </c>
    </row>
    <row r="15">
      <c r="A15" s="4" t="inlineStr">
        <is>
          <t>Customer Retention (%)</t>
        </is>
      </c>
      <c r="B15" s="12" t="n">
        <v>42.1</v>
      </c>
      <c r="C15" s="12" t="n">
        <v>51.3</v>
      </c>
      <c r="D15" s="12" t="n">
        <v>58.6</v>
      </c>
      <c r="E15" s="12" t="n">
        <v>67.2</v>
      </c>
      <c r="F15" s="12" t="n">
        <v>68.40000000000001</v>
      </c>
      <c r="G15" s="12" t="n">
        <v>69.09999999999999</v>
      </c>
    </row>
    <row r="16">
      <c r="A16" s="13" t="inlineStr">
        <is>
          <t>Delivery Time (mins avg)</t>
        </is>
      </c>
      <c r="B16" s="15" t="n">
        <v>35</v>
      </c>
      <c r="C16" s="15" t="n">
        <v>32</v>
      </c>
      <c r="D16" s="15" t="n">
        <v>17</v>
      </c>
      <c r="E16" s="15" t="n">
        <v>13</v>
      </c>
      <c r="F16" s="15" t="n">
        <v>12</v>
      </c>
      <c r="G16" s="15" t="n">
        <v>12</v>
      </c>
    </row>
    <row r="17">
      <c r="A17" s="9" t="n"/>
      <c r="B17" s="9" t="n"/>
      <c r="C17" s="9" t="n"/>
      <c r="D17" s="9" t="n"/>
      <c r="E17" s="9" t="n"/>
      <c r="F17" s="9" t="n"/>
      <c r="G17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Quarterly Data – D-Mart vs Blinkit (Q1 FY22 – Q2 FY25)</t>
        </is>
      </c>
    </row>
    <row r="2">
      <c r="A2" s="10" t="inlineStr">
        <is>
          <t>Note: Some D-Mart quarterly figures estimated from annual data + management commentary. Blinkit data from Zomato quarterly results.</t>
        </is>
      </c>
    </row>
    <row r="4">
      <c r="A4" s="3" t="inlineStr">
        <is>
          <t>Quarter</t>
        </is>
      </c>
      <c r="B4" s="3" t="inlineStr">
        <is>
          <t>DMart Revenue (₹ Cr)</t>
        </is>
      </c>
      <c r="C4" s="3" t="inlineStr">
        <is>
          <t>DMart PAT (₹ Cr)</t>
        </is>
      </c>
      <c r="D4" s="3" t="inlineStr">
        <is>
          <t>DMart EBITDA %</t>
        </is>
      </c>
      <c r="E4" s="3" t="inlineStr">
        <is>
          <t>Blinkit GOV (₹ Cr)</t>
        </is>
      </c>
      <c r="F4" s="3" t="inlineStr">
        <is>
          <t>Blinkit Dark Stores</t>
        </is>
      </c>
      <c r="G4" s="3" t="inlineStr">
        <is>
          <t>Blinkit Adj EBITDA (₹ Cr)</t>
        </is>
      </c>
    </row>
    <row r="5">
      <c r="A5" s="16" t="inlineStr">
        <is>
          <t>Q1 FY22</t>
        </is>
      </c>
      <c r="B5" s="5" t="n">
        <v>6200</v>
      </c>
      <c r="C5" s="5" t="n">
        <v>295</v>
      </c>
      <c r="D5" s="17" t="n">
        <v>0.075</v>
      </c>
      <c r="E5" s="5" t="n">
        <v>480</v>
      </c>
      <c r="F5" s="5" t="n">
        <v>85</v>
      </c>
      <c r="G5" s="5" t="n">
        <v>-168</v>
      </c>
    </row>
    <row r="6">
      <c r="A6" s="18" t="inlineStr">
        <is>
          <t>Q2 FY22</t>
        </is>
      </c>
      <c r="B6" s="19" t="n">
        <v>7400</v>
      </c>
      <c r="C6" s="19" t="n">
        <v>330</v>
      </c>
      <c r="D6" s="20" t="n">
        <v>0.077</v>
      </c>
      <c r="E6" s="19" t="n">
        <v>610</v>
      </c>
      <c r="F6" s="19" t="n">
        <v>92</v>
      </c>
      <c r="G6" s="19" t="n">
        <v>-141</v>
      </c>
    </row>
    <row r="7">
      <c r="A7" s="16" t="inlineStr">
        <is>
          <t>Q3 FY22</t>
        </is>
      </c>
      <c r="B7" s="5" t="n">
        <v>8800</v>
      </c>
      <c r="C7" s="5" t="n">
        <v>412</v>
      </c>
      <c r="D7" s="17" t="n">
        <v>0.081</v>
      </c>
      <c r="E7" s="5" t="n">
        <v>680</v>
      </c>
      <c r="F7" s="5" t="n">
        <v>105</v>
      </c>
      <c r="G7" s="5" t="n">
        <v>-132</v>
      </c>
    </row>
    <row r="8">
      <c r="A8" s="18" t="inlineStr">
        <is>
          <t>Q4 FY22</t>
        </is>
      </c>
      <c r="B8" s="19" t="n">
        <v>8576</v>
      </c>
      <c r="C8" s="19" t="n">
        <v>457</v>
      </c>
      <c r="D8" s="20" t="n">
        <v>0.082</v>
      </c>
      <c r="E8" s="19" t="n">
        <v>610</v>
      </c>
      <c r="F8" s="19" t="n">
        <v>68</v>
      </c>
      <c r="G8" s="19" t="n">
        <v>-87</v>
      </c>
    </row>
    <row r="9">
      <c r="A9" s="16" t="inlineStr">
        <is>
          <t>Q1 FY23</t>
        </is>
      </c>
      <c r="B9" s="5" t="n">
        <v>9200</v>
      </c>
      <c r="C9" s="5" t="n">
        <v>428</v>
      </c>
      <c r="D9" s="17" t="n">
        <v>0.079</v>
      </c>
      <c r="E9" s="5" t="n">
        <v>1250</v>
      </c>
      <c r="F9" s="5" t="n">
        <v>158</v>
      </c>
      <c r="G9" s="5" t="n">
        <v>-112</v>
      </c>
    </row>
    <row r="10">
      <c r="A10" s="18" t="inlineStr">
        <is>
          <t>Q2 FY23</t>
        </is>
      </c>
      <c r="B10" s="19" t="n">
        <v>10350</v>
      </c>
      <c r="C10" s="19" t="n">
        <v>500</v>
      </c>
      <c r="D10" s="20" t="n">
        <v>0.082</v>
      </c>
      <c r="E10" s="19" t="n">
        <v>1480</v>
      </c>
      <c r="F10" s="19" t="n">
        <v>188</v>
      </c>
      <c r="G10" s="19" t="n">
        <v>-97</v>
      </c>
    </row>
    <row r="11">
      <c r="A11" s="16" t="inlineStr">
        <is>
          <t>Q3 FY23</t>
        </is>
      </c>
      <c r="B11" s="5" t="n">
        <v>11800</v>
      </c>
      <c r="C11" s="5" t="n">
        <v>591</v>
      </c>
      <c r="D11" s="17" t="n">
        <v>0.083</v>
      </c>
      <c r="E11" s="5" t="n">
        <v>1720</v>
      </c>
      <c r="F11" s="5" t="n">
        <v>258</v>
      </c>
      <c r="G11" s="5" t="n">
        <v>-92</v>
      </c>
    </row>
    <row r="12">
      <c r="A12" s="18" t="inlineStr">
        <is>
          <t>Q4 FY23</t>
        </is>
      </c>
      <c r="B12" s="19" t="n">
        <v>11490</v>
      </c>
      <c r="C12" s="19" t="n">
        <v>622</v>
      </c>
      <c r="D12" s="20" t="n">
        <v>0.08400000000000001</v>
      </c>
      <c r="E12" s="19" t="n">
        <v>1750</v>
      </c>
      <c r="F12" s="19" t="n">
        <v>335</v>
      </c>
      <c r="G12" s="19" t="n">
        <v>-79</v>
      </c>
    </row>
    <row r="13">
      <c r="A13" s="16" t="inlineStr">
        <is>
          <t>Q1 FY24</t>
        </is>
      </c>
      <c r="B13" s="5" t="n">
        <v>11300</v>
      </c>
      <c r="C13" s="5" t="n">
        <v>597</v>
      </c>
      <c r="D13" s="17" t="n">
        <v>0.079</v>
      </c>
      <c r="E13" s="5" t="n">
        <v>2680</v>
      </c>
      <c r="F13" s="5" t="n">
        <v>449</v>
      </c>
      <c r="G13" s="5" t="n">
        <v>-48</v>
      </c>
    </row>
    <row r="14">
      <c r="A14" s="18" t="inlineStr">
        <is>
          <t>Q2 FY24</t>
        </is>
      </c>
      <c r="B14" s="19" t="n">
        <v>12350</v>
      </c>
      <c r="C14" s="19" t="n">
        <v>649</v>
      </c>
      <c r="D14" s="20" t="n">
        <v>0.08</v>
      </c>
      <c r="E14" s="19" t="n">
        <v>3010</v>
      </c>
      <c r="F14" s="19" t="n">
        <v>526</v>
      </c>
      <c r="G14" s="19" t="n">
        <v>-38</v>
      </c>
    </row>
    <row r="15">
      <c r="A15" s="16" t="inlineStr">
        <is>
          <t>Q3 FY24</t>
        </is>
      </c>
      <c r="B15" s="5" t="n">
        <v>13600</v>
      </c>
      <c r="C15" s="5" t="n">
        <v>731</v>
      </c>
      <c r="D15" s="17" t="n">
        <v>0.082</v>
      </c>
      <c r="E15" s="5" t="n">
        <v>3380</v>
      </c>
      <c r="F15" s="5" t="n">
        <v>581</v>
      </c>
      <c r="G15" s="5" t="n">
        <v>-22</v>
      </c>
    </row>
    <row r="16">
      <c r="A16" s="18" t="inlineStr">
        <is>
          <t>Q4 FY24</t>
        </is>
      </c>
      <c r="B16" s="19" t="n">
        <v>13539</v>
      </c>
      <c r="C16" s="19" t="n">
        <v>718</v>
      </c>
      <c r="D16" s="20" t="n">
        <v>0.081</v>
      </c>
      <c r="E16" s="19" t="n">
        <v>3399</v>
      </c>
      <c r="F16" s="19" t="n">
        <v>639</v>
      </c>
      <c r="G16" s="19" t="n">
        <v>-14</v>
      </c>
    </row>
    <row r="17">
      <c r="A17" s="16" t="inlineStr">
        <is>
          <t>Q1 FY25</t>
        </is>
      </c>
      <c r="B17" s="5" t="n">
        <v>14195</v>
      </c>
      <c r="C17" s="5" t="n">
        <v>773</v>
      </c>
      <c r="D17" s="17" t="n">
        <v>0.08</v>
      </c>
      <c r="E17" s="5" t="n">
        <v>4923</v>
      </c>
      <c r="F17" s="5" t="n">
        <v>791</v>
      </c>
      <c r="G17" s="5" t="n">
        <v>-40</v>
      </c>
    </row>
    <row r="18">
      <c r="A18" s="18" t="inlineStr">
        <is>
          <t>Q2 FY25</t>
        </is>
      </c>
      <c r="B18" s="19" t="n">
        <v>15037</v>
      </c>
      <c r="C18" s="19" t="n">
        <v>821</v>
      </c>
      <c r="D18" s="20" t="n">
        <v>0.079</v>
      </c>
      <c r="E18" s="19" t="n">
        <v>5824</v>
      </c>
      <c r="F18" s="19" t="n">
        <v>857</v>
      </c>
      <c r="G18" s="19" t="n">
        <v>28</v>
      </c>
    </row>
    <row r="19">
      <c r="A19" s="9" t="n"/>
      <c r="B19" s="9" t="n"/>
      <c r="C19" s="9" t="n"/>
      <c r="D19" s="9" t="n"/>
      <c r="E19" s="9" t="n"/>
      <c r="F19" s="9" t="n"/>
      <c r="G19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Retail Store Expansion – D-Mart vs Blinkit Dark Stores | FY2018–FY2024</t>
        </is>
      </c>
    </row>
    <row r="3">
      <c r="A3" s="3" t="inlineStr">
        <is>
          <t>Year</t>
        </is>
      </c>
      <c r="B3" s="3" t="inlineStr">
        <is>
          <t>DMart Stores</t>
        </is>
      </c>
      <c r="C3" s="3" t="inlineStr">
        <is>
          <t>Net Additions (D)</t>
        </is>
      </c>
      <c r="D3" s="3" t="inlineStr">
        <is>
          <t>DMart Avg Store Size (sqft)</t>
        </is>
      </c>
      <c r="E3" s="3" t="inlineStr">
        <is>
          <t>Blinkit Dark Stores</t>
        </is>
      </c>
      <c r="F3" s="3" t="inlineStr">
        <is>
          <t>Net Additions (B)</t>
        </is>
      </c>
      <c r="G3" s="3" t="inlineStr">
        <is>
          <t>DMart Capex (₹ Cr)</t>
        </is>
      </c>
      <c r="H3" s="3" t="inlineStr">
        <is>
          <t>Blinkit Implied Capex (₹ Cr)</t>
        </is>
      </c>
    </row>
    <row r="4">
      <c r="A4" s="18" t="inlineStr">
        <is>
          <t>FY2018</t>
        </is>
      </c>
      <c r="B4" s="19" t="n">
        <v>176</v>
      </c>
      <c r="C4" s="21" t="inlineStr">
        <is>
          <t>N/A</t>
        </is>
      </c>
      <c r="D4" s="19" t="n">
        <v>32000</v>
      </c>
      <c r="E4" s="21" t="inlineStr">
        <is>
          <t>N/A</t>
        </is>
      </c>
      <c r="F4" s="21" t="inlineStr">
        <is>
          <t>N/A</t>
        </is>
      </c>
      <c r="G4" s="19" t="n">
        <v>892</v>
      </c>
      <c r="H4" s="21" t="inlineStr">
        <is>
          <t>N/A</t>
        </is>
      </c>
    </row>
    <row r="5">
      <c r="A5" s="16" t="inlineStr">
        <is>
          <t>FY2019</t>
        </is>
      </c>
      <c r="B5" s="5" t="n">
        <v>176</v>
      </c>
      <c r="C5" s="5" t="n">
        <v>0</v>
      </c>
      <c r="D5" s="5" t="n">
        <v>32000</v>
      </c>
      <c r="E5" s="22" t="inlineStr">
        <is>
          <t>N/A</t>
        </is>
      </c>
      <c r="F5" s="22" t="inlineStr">
        <is>
          <t>N/A</t>
        </is>
      </c>
      <c r="G5" s="5" t="n">
        <v>1124</v>
      </c>
      <c r="H5" s="22" t="inlineStr">
        <is>
          <t>N/A</t>
        </is>
      </c>
    </row>
    <row r="6">
      <c r="A6" s="18" t="inlineStr">
        <is>
          <t>FY2020</t>
        </is>
      </c>
      <c r="B6" s="19" t="n">
        <v>214</v>
      </c>
      <c r="C6" s="19" t="n">
        <v>38</v>
      </c>
      <c r="D6" s="19" t="n">
        <v>32000</v>
      </c>
      <c r="E6" s="21" t="inlineStr">
        <is>
          <t>N/A</t>
        </is>
      </c>
      <c r="F6" s="21" t="inlineStr">
        <is>
          <t>N/A</t>
        </is>
      </c>
      <c r="G6" s="19" t="n">
        <v>1410</v>
      </c>
      <c r="H6" s="21" t="inlineStr">
        <is>
          <t>N/A</t>
        </is>
      </c>
    </row>
    <row r="7">
      <c r="A7" s="16" t="inlineStr">
        <is>
          <t>FY2021</t>
        </is>
      </c>
      <c r="B7" s="5" t="n">
        <v>238</v>
      </c>
      <c r="C7" s="5" t="n">
        <v>24</v>
      </c>
      <c r="D7" s="5" t="n">
        <v>32500</v>
      </c>
      <c r="E7" s="5" t="n">
        <v>34</v>
      </c>
      <c r="F7" s="5" t="n">
        <v>34</v>
      </c>
      <c r="G7" s="5" t="n">
        <v>830</v>
      </c>
      <c r="H7" s="5" t="n">
        <v>85</v>
      </c>
    </row>
    <row r="8">
      <c r="A8" s="18" t="inlineStr">
        <is>
          <t>FY2022</t>
        </is>
      </c>
      <c r="B8" s="19" t="n">
        <v>276</v>
      </c>
      <c r="C8" s="19" t="n">
        <v>38</v>
      </c>
      <c r="D8" s="19" t="n">
        <v>33000</v>
      </c>
      <c r="E8" s="19" t="n">
        <v>68</v>
      </c>
      <c r="F8" s="19" t="n">
        <v>34</v>
      </c>
      <c r="G8" s="19" t="n">
        <v>1620</v>
      </c>
      <c r="H8" s="19" t="n">
        <v>170</v>
      </c>
    </row>
    <row r="9">
      <c r="A9" s="16" t="inlineStr">
        <is>
          <t>FY2023</t>
        </is>
      </c>
      <c r="B9" s="5" t="n">
        <v>302</v>
      </c>
      <c r="C9" s="5" t="n">
        <v>26</v>
      </c>
      <c r="D9" s="5" t="n">
        <v>33500</v>
      </c>
      <c r="E9" s="5" t="n">
        <v>335</v>
      </c>
      <c r="F9" s="5" t="n">
        <v>267</v>
      </c>
      <c r="G9" s="5" t="n">
        <v>2100</v>
      </c>
      <c r="H9" s="5" t="n">
        <v>838</v>
      </c>
    </row>
    <row r="10">
      <c r="A10" s="18" t="inlineStr">
        <is>
          <t>FY2024</t>
        </is>
      </c>
      <c r="B10" s="19" t="n">
        <v>365</v>
      </c>
      <c r="C10" s="19" t="n">
        <v>63</v>
      </c>
      <c r="D10" s="19" t="n">
        <v>34000</v>
      </c>
      <c r="E10" s="19" t="n">
        <v>639</v>
      </c>
      <c r="F10" s="19" t="n">
        <v>304</v>
      </c>
      <c r="G10" s="19" t="n">
        <v>2980</v>
      </c>
      <c r="H10" s="19" t="n">
        <v>1597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3" t="inlineStr">
        <is>
          <t>Primary Survey – Consumer Preferences (n=87 respondents, Delhi NCR)</t>
        </is>
      </c>
    </row>
    <row r="2">
      <c r="A2" s="10" t="inlineStr">
        <is>
          <t>Self-conducted Google Form survey | Oct 2024 | Note: Small sample, Delhi-NCR bias, not statistically representative</t>
        </is>
      </c>
    </row>
    <row r="4">
      <c r="A4" s="24" t="inlineStr">
        <is>
          <t>Question / Category</t>
        </is>
      </c>
      <c r="B4" s="24" t="inlineStr">
        <is>
          <t>D-Mart</t>
        </is>
      </c>
      <c r="C4" s="24" t="inlineStr">
        <is>
          <t>Blinkit</t>
        </is>
      </c>
      <c r="D4" s="24" t="inlineStr">
        <is>
          <t>Both / Neutral</t>
        </is>
      </c>
    </row>
    <row r="5">
      <c r="A5" s="16" t="inlineStr">
        <is>
          <t>Primary grocery channel</t>
        </is>
      </c>
      <c r="B5" s="22" t="inlineStr">
        <is>
          <t>38%</t>
        </is>
      </c>
      <c r="C5" s="22" t="inlineStr">
        <is>
          <t>29%</t>
        </is>
      </c>
      <c r="D5" s="22" t="inlineStr">
        <is>
          <t>33%</t>
        </is>
      </c>
    </row>
    <row r="6">
      <c r="A6" s="25" t="inlineStr">
        <is>
          <t>Used in last 30 days</t>
        </is>
      </c>
      <c r="B6" s="26" t="inlineStr">
        <is>
          <t>62%</t>
        </is>
      </c>
      <c r="C6" s="26" t="inlineStr">
        <is>
          <t>71%</t>
        </is>
      </c>
      <c r="D6" s="26" t="inlineStr">
        <is>
          <t>N/A</t>
        </is>
      </c>
    </row>
    <row r="7">
      <c r="A7" s="16" t="inlineStr">
        <is>
          <t>Price satisfaction (Satisfied/Very)</t>
        </is>
      </c>
      <c r="B7" s="22" t="inlineStr">
        <is>
          <t>81%</t>
        </is>
      </c>
      <c r="C7" s="22" t="inlineStr">
        <is>
          <t>52%</t>
        </is>
      </c>
      <c r="D7" s="22" t="inlineStr">
        <is>
          <t>N/A</t>
        </is>
      </c>
    </row>
    <row r="8">
      <c r="A8" s="25" t="inlineStr">
        <is>
          <t>Convenience rating (4 or 5/5)</t>
        </is>
      </c>
      <c r="B8" s="26" t="inlineStr">
        <is>
          <t>54%</t>
        </is>
      </c>
      <c r="C8" s="26" t="inlineStr">
        <is>
          <t>88%</t>
        </is>
      </c>
      <c r="D8" s="26" t="inlineStr">
        <is>
          <t>N/A</t>
        </is>
      </c>
    </row>
    <row r="9">
      <c r="A9" s="16" t="inlineStr">
        <is>
          <t>Would switch to opposite channel?</t>
        </is>
      </c>
      <c r="B9" s="22" t="inlineStr">
        <is>
          <t>22%</t>
        </is>
      </c>
      <c r="C9" s="22" t="inlineStr">
        <is>
          <t>34%</t>
        </is>
      </c>
      <c r="D9" s="22" t="inlineStr">
        <is>
          <t>N/A</t>
        </is>
      </c>
    </row>
    <row r="10">
      <c r="A10" s="25" t="inlineStr">
        <is>
          <t>Main reason for choosing</t>
        </is>
      </c>
      <c r="B10" s="26" t="inlineStr">
        <is>
          <t>Low prices</t>
        </is>
      </c>
      <c r="C10" s="26" t="inlineStr">
        <is>
          <t>Speed/Convenience</t>
        </is>
      </c>
      <c r="D10" s="26" t="inlineStr">
        <is>
          <t>N/A</t>
        </is>
      </c>
    </row>
    <row r="11">
      <c r="A11" s="16" t="inlineStr">
        <is>
          <t>Age group most active: 18-30</t>
        </is>
      </c>
      <c r="B11" s="22" t="inlineStr">
        <is>
          <t>31%</t>
        </is>
      </c>
      <c r="C11" s="22" t="inlineStr">
        <is>
          <t>67%</t>
        </is>
      </c>
      <c r="D11" s="22" t="inlineStr">
        <is>
          <t>N/A</t>
        </is>
      </c>
    </row>
    <row r="12">
      <c r="A12" s="25" t="inlineStr">
        <is>
          <t>Age group most active: 31-50</t>
        </is>
      </c>
      <c r="B12" s="26" t="inlineStr">
        <is>
          <t>58%</t>
        </is>
      </c>
      <c r="C12" s="26" t="inlineStr">
        <is>
          <t>28%</t>
        </is>
      </c>
      <c r="D12" s="26" t="inlineStr">
        <is>
          <t>N/A</t>
        </is>
      </c>
    </row>
    <row r="13">
      <c r="A13" s="16" t="inlineStr">
        <is>
          <t>Monthly spend (avg ₹)</t>
        </is>
      </c>
      <c r="B13" s="22" t="inlineStr">
        <is>
          <t>3,200</t>
        </is>
      </c>
      <c r="C13" s="22" t="inlineStr">
        <is>
          <t>1,100</t>
        </is>
      </c>
      <c r="D13" s="22" t="inlineStr">
        <is>
          <t>N/A</t>
        </is>
      </c>
    </row>
    <row r="14">
      <c r="A14" s="25" t="inlineStr">
        <is>
          <t>Uses both platforms</t>
        </is>
      </c>
      <c r="B14" s="26" t="inlineStr">
        <is>
          <t>N/A</t>
        </is>
      </c>
      <c r="C14" s="26" t="inlineStr">
        <is>
          <t>N/A</t>
        </is>
      </c>
      <c r="D14" s="26" t="inlineStr">
        <is>
          <t>44%</t>
        </is>
      </c>
    </row>
    <row r="15">
      <c r="A15" s="9" t="n"/>
      <c r="B15" s="9" t="n"/>
      <c r="C15" s="9" t="n"/>
      <c r="D15" s="9" t="n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50" customWidth="1" min="2" max="2"/>
  </cols>
  <sheetData>
    <row r="1" ht="30" customHeight="1">
      <c r="A1" s="1" t="inlineStr">
        <is>
          <t>Data Sources, Assumptions &amp; Personal Notes</t>
        </is>
      </c>
    </row>
    <row r="3">
      <c r="A3" s="27" t="inlineStr">
        <is>
          <t>DATA SOURCES</t>
        </is>
      </c>
    </row>
    <row r="4">
      <c r="A4" s="28" t="inlineStr">
        <is>
          <t>D-Mart Annual Reports (FY18–FY24)</t>
        </is>
      </c>
      <c r="B4" s="29" t="inlineStr">
        <is>
          <t>avenueSuperMarts.in/investor-relations</t>
        </is>
      </c>
    </row>
    <row r="5">
      <c r="A5" s="30" t="inlineStr">
        <is>
          <t>Zomato Quarterly Earnings (Q1–Q2 FY25)</t>
        </is>
      </c>
      <c r="B5" s="31" t="inlineStr">
        <is>
          <t>ir.zomato.com/quarterly-results</t>
        </is>
      </c>
    </row>
    <row r="6">
      <c r="A6" s="28" t="inlineStr">
        <is>
          <t>Blinkit DRHP (pre-acquisition filing)</t>
        </is>
      </c>
      <c r="B6" s="29" t="inlineStr">
        <is>
          <t>sebi.gov.in / DRHP filed 2021</t>
        </is>
      </c>
    </row>
    <row r="7">
      <c r="A7" s="30" t="inlineStr">
        <is>
          <t>DPIIT Quick Commerce Report 2023</t>
        </is>
      </c>
      <c r="B7" s="31" t="inlineStr">
        <is>
          <t>dpiit.gov.in</t>
        </is>
      </c>
    </row>
    <row r="8">
      <c r="A8" s="28" t="inlineStr">
        <is>
          <t>Redseer Strategy Consultants – Quick Commerce</t>
        </is>
      </c>
      <c r="B8" s="29" t="inlineStr">
        <is>
          <t>redseer.com/reports</t>
        </is>
      </c>
    </row>
    <row r="9">
      <c r="A9" s="30" t="inlineStr">
        <is>
          <t>Economic Times Retail Coverage</t>
        </is>
      </c>
      <c r="B9" s="31" t="inlineStr">
        <is>
          <t>economictimes.com</t>
        </is>
      </c>
    </row>
    <row r="10">
      <c r="A10" s="28" t="inlineStr"/>
      <c r="B10" s="29" t="inlineStr"/>
    </row>
    <row r="11">
      <c r="A11" s="27" t="inlineStr">
        <is>
          <t>PERSONAL NOTES / ASSUMPTIONS</t>
        </is>
      </c>
    </row>
    <row r="12">
      <c r="A12" s="28" t="inlineStr">
        <is>
          <t>FY2021 D-Mart data shows dip due to COVID-19 store shutdowns</t>
        </is>
      </c>
      <c r="B12" s="29" t="inlineStr">
        <is>
          <t>Mentioned in FY21 Annual Report pg 12</t>
        </is>
      </c>
    </row>
    <row r="13">
      <c r="A13" s="30" t="inlineStr">
        <is>
          <t>Blinkit FY21-22 data estimated from DRHP disclosures</t>
        </is>
      </c>
      <c r="B13" s="31" t="inlineStr">
        <is>
          <t>GOV figures partially reconstructed</t>
        </is>
      </c>
    </row>
    <row r="14">
      <c r="A14" s="28" t="inlineStr">
        <is>
          <t>Dark store capex estimated at ~₹50L per store (industry avg)</t>
        </is>
      </c>
      <c r="B14" s="29" t="inlineStr">
        <is>
          <t>Based on Redseer report estimate</t>
        </is>
      </c>
    </row>
    <row r="15">
      <c r="A15" s="30" t="inlineStr">
        <is>
          <t>Survey conducted via Google Forms, shared in college network</t>
        </is>
      </c>
      <c r="B15" s="31" t="inlineStr">
        <is>
          <t>Oct 1-15, 2024 | n=87 | NCR only</t>
        </is>
      </c>
    </row>
    <row r="16">
      <c r="A16" s="28" t="inlineStr">
        <is>
          <t>Q3/Q4 FY24 D-Mart margin dip may reflect competitive pressure</t>
        </is>
      </c>
      <c r="B16" s="29" t="inlineStr">
        <is>
          <t>Hypothesis – needs more data</t>
        </is>
      </c>
    </row>
    <row r="17">
      <c r="A17" s="30" t="inlineStr">
        <is>
          <t>Blinkit path to profitability assumes 10-min delivery model holds</t>
        </is>
      </c>
      <c r="B17" s="31" t="inlineStr">
        <is>
          <t>Management guidance Q2FY25</t>
        </is>
      </c>
    </row>
    <row r="18">
      <c r="A18" s="28" t="inlineStr"/>
      <c r="B18" s="29" t="inlineStr"/>
    </row>
    <row r="19">
      <c r="A19" s="27" t="inlineStr">
        <is>
          <t>LIMITATIONS NOTED</t>
        </is>
      </c>
    </row>
    <row r="20">
      <c r="A20" s="28" t="inlineStr">
        <is>
          <t>D-Mart does not break out e-commerce (DMart Ready) separately</t>
        </is>
      </c>
      <c r="B20" s="29" t="inlineStr">
        <is>
          <t>Limitation acknowledged in analysis</t>
        </is>
      </c>
    </row>
    <row r="21">
      <c r="A21" s="30" t="inlineStr">
        <is>
          <t>Blinkit category-level data not available publicly</t>
        </is>
      </c>
      <c r="B21" s="31" t="inlineStr">
        <is>
          <t>Only aggregate GOV disclosed</t>
        </is>
      </c>
    </row>
    <row r="22">
      <c r="A22" s="28" t="inlineStr">
        <is>
          <t>Survey sample is too small and geographically limited</t>
        </is>
      </c>
      <c r="B22" s="29" t="inlineStr">
        <is>
          <t>Delhi NCR only, college network bias</t>
        </is>
      </c>
    </row>
    <row r="23">
      <c r="A23" s="30" t="inlineStr">
        <is>
          <t>Competitor data (Zepto, Swiggy Instamart) not included</t>
        </is>
      </c>
      <c r="B23" s="31" t="inlineStr">
        <is>
          <t>Would strengthen comparison</t>
        </is>
      </c>
    </row>
  </sheetData>
  <mergeCells count="4">
    <mergeCell ref="A3:B3"/>
    <mergeCell ref="A11:B11"/>
    <mergeCell ref="A1:B1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2026-05-21T09:45:28Z</dcterms:created>
  <dcterms:modified xmlns:dcterms="http://purl.org/dc/terms/" xmlns:xsi="http://www.w3.org/2001/XMLSchema-instance" xsi:type="dcterms:W3CDTF">2026-05-21T09:45:28Z</dcterms:modified>
</cp:coreProperties>
</file>